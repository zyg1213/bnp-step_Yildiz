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livka/Documents/GitHub/bnp-step_Yildiz/BT_vs_original/"/>
    </mc:Choice>
  </mc:AlternateContent>
  <xr:revisionPtr revIDLastSave="0" documentId="13_ncr:1_{8FDD5B43-2D89-9D4A-B87A-2BEE56A6CC0A}" xr6:coauthVersionLast="47" xr6:coauthVersionMax="47" xr10:uidLastSave="{00000000-0000-0000-0000-000000000000}"/>
  <bookViews>
    <workbookView xWindow="1100" yWindow="820" windowWidth="28040" windowHeight="17440" xr2:uid="{BF209345-AFAC-4646-A878-A54A0E2A57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" l="1"/>
  <c r="K25" i="1"/>
  <c r="N25" i="1" s="1"/>
  <c r="K24" i="1"/>
  <c r="N24" i="1" s="1"/>
  <c r="K23" i="1"/>
  <c r="L25" i="1"/>
  <c r="L24" i="1"/>
  <c r="N23" i="1"/>
  <c r="L23" i="1"/>
  <c r="K12" i="1"/>
  <c r="L12" i="1"/>
  <c r="N12" i="1" s="1"/>
  <c r="L19" i="1"/>
  <c r="K19" i="1"/>
  <c r="L16" i="1"/>
  <c r="L17" i="1"/>
  <c r="K17" i="1"/>
  <c r="K16" i="1"/>
  <c r="L10" i="1"/>
  <c r="L11" i="1"/>
  <c r="L13" i="1"/>
  <c r="L14" i="1"/>
  <c r="L9" i="1"/>
  <c r="K10" i="1"/>
  <c r="N10" i="1" s="1"/>
  <c r="K11" i="1"/>
  <c r="N11" i="1" s="1"/>
  <c r="K13" i="1"/>
  <c r="N13" i="1" s="1"/>
  <c r="K14" i="1"/>
  <c r="N14" i="1" s="1"/>
  <c r="K9" i="1"/>
  <c r="N9" i="1" s="1"/>
  <c r="N16" i="1" s="1"/>
  <c r="E16" i="1"/>
  <c r="F16" i="1"/>
  <c r="G16" i="1"/>
  <c r="H16" i="1"/>
  <c r="I16" i="1"/>
  <c r="E17" i="1"/>
  <c r="F17" i="1"/>
  <c r="G17" i="1"/>
  <c r="H17" i="1"/>
  <c r="I17" i="1"/>
  <c r="D17" i="1"/>
  <c r="D16" i="1"/>
  <c r="N19" i="1" l="1"/>
  <c r="N17" i="1"/>
</calcChain>
</file>

<file path=xl/sharedStrings.xml><?xml version="1.0" encoding="utf-8"?>
<sst xmlns="http://schemas.openxmlformats.org/spreadsheetml/2006/main" count="15" uniqueCount="12">
  <si>
    <t>Run on Joseph's MacBook Pro Apple Silicon 2</t>
  </si>
  <si>
    <t>Trace seed</t>
  </si>
  <si>
    <t>Time</t>
  </si>
  <si>
    <t>MAP</t>
  </si>
  <si>
    <t>SSR</t>
  </si>
  <si>
    <t>bnp_step</t>
  </si>
  <si>
    <t>bt_bnp_step</t>
  </si>
  <si>
    <t>Ndata</t>
  </si>
  <si>
    <t>Iterations</t>
  </si>
  <si>
    <t>SSR Improvement</t>
  </si>
  <si>
    <t>Time Improvement</t>
  </si>
  <si>
    <t>Total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</si>
</sst>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A3FAB-16BD-8E4D-8D09-FC6B27A5EF78}">
  <dimension ref="A1:N27"/>
  <sheetViews>
    <sheetView tabSelected="1" topLeftCell="A3" workbookViewId="0">
      <selection activeCell="L27" sqref="L27"/>
    </sheetView>
  </sheetViews>
  <sheetFormatPr baseColWidth="10" defaultRowHeight="16" x14ac:dyDescent="0.2"/>
  <sheetData>
    <row r="1" spans="1:14" x14ac:dyDescent="0.2">
      <c r="A1" t="s">
        <v>0</v>
      </c>
    </row>
    <row r="3" spans="1:14" x14ac:dyDescent="0.2">
      <c r="D3" s="1" t="s">
        <v>5</v>
      </c>
      <c r="E3" s="1"/>
      <c r="F3" s="1"/>
      <c r="G3" s="1" t="s">
        <v>6</v>
      </c>
      <c r="H3" s="1"/>
      <c r="I3" s="1"/>
    </row>
    <row r="4" spans="1:14" x14ac:dyDescent="0.2">
      <c r="A4" t="s">
        <v>1</v>
      </c>
      <c r="B4" t="s">
        <v>7</v>
      </c>
      <c r="C4" t="s">
        <v>8</v>
      </c>
      <c r="D4" t="s">
        <v>2</v>
      </c>
      <c r="E4" t="s">
        <v>3</v>
      </c>
      <c r="F4" t="s">
        <v>4</v>
      </c>
      <c r="G4" t="s">
        <v>2</v>
      </c>
      <c r="H4" t="s">
        <v>3</v>
      </c>
      <c r="I4" t="s">
        <v>4</v>
      </c>
    </row>
    <row r="5" spans="1:14" x14ac:dyDescent="0.2">
      <c r="A5">
        <v>0</v>
      </c>
      <c r="B5">
        <v>500</v>
      </c>
      <c r="C5">
        <v>1000</v>
      </c>
    </row>
    <row r="6" spans="1:14" x14ac:dyDescent="0.2">
      <c r="A6">
        <v>1</v>
      </c>
      <c r="B6">
        <v>500</v>
      </c>
      <c r="C6">
        <v>1000</v>
      </c>
    </row>
    <row r="7" spans="1:14" x14ac:dyDescent="0.2">
      <c r="A7">
        <v>14</v>
      </c>
      <c r="B7">
        <v>500</v>
      </c>
      <c r="C7">
        <v>1000</v>
      </c>
    </row>
    <row r="8" spans="1:14" x14ac:dyDescent="0.2">
      <c r="K8" t="s">
        <v>9</v>
      </c>
      <c r="L8" t="s">
        <v>10</v>
      </c>
      <c r="N8" t="s">
        <v>11</v>
      </c>
    </row>
    <row r="9" spans="1:14" x14ac:dyDescent="0.2">
      <c r="A9">
        <v>66</v>
      </c>
      <c r="B9">
        <v>5500</v>
      </c>
      <c r="C9">
        <v>1000</v>
      </c>
      <c r="D9">
        <v>139.30000000000001</v>
      </c>
      <c r="E9">
        <v>-6174</v>
      </c>
      <c r="F9">
        <v>1886</v>
      </c>
      <c r="G9">
        <v>26.8</v>
      </c>
      <c r="H9">
        <v>-4011</v>
      </c>
      <c r="I9">
        <v>709</v>
      </c>
      <c r="K9">
        <f>F9/I9</f>
        <v>2.6600846262341324</v>
      </c>
      <c r="L9">
        <f>D9/G9</f>
        <v>5.1977611940298507</v>
      </c>
      <c r="N9">
        <f>K9*L9</f>
        <v>13.826484643075174</v>
      </c>
    </row>
    <row r="10" spans="1:14" x14ac:dyDescent="0.2">
      <c r="A10">
        <v>66</v>
      </c>
      <c r="B10">
        <v>5500</v>
      </c>
      <c r="C10">
        <v>5000</v>
      </c>
      <c r="D10">
        <v>884</v>
      </c>
      <c r="E10">
        <v>-4748</v>
      </c>
      <c r="F10">
        <v>996</v>
      </c>
      <c r="G10">
        <v>146</v>
      </c>
      <c r="H10">
        <v>-3588</v>
      </c>
      <c r="I10">
        <v>568</v>
      </c>
      <c r="K10">
        <f t="shared" ref="K10:K14" si="0">F10/I10</f>
        <v>1.7535211267605635</v>
      </c>
      <c r="L10">
        <f t="shared" ref="L10:L14" si="1">D10/G10</f>
        <v>6.0547945205479454</v>
      </c>
      <c r="N10">
        <f t="shared" ref="N10:N14" si="2">K10*L10</f>
        <v>10.61721010997492</v>
      </c>
    </row>
    <row r="11" spans="1:14" x14ac:dyDescent="0.2">
      <c r="A11">
        <v>115</v>
      </c>
      <c r="B11">
        <v>5500</v>
      </c>
      <c r="C11">
        <v>1000</v>
      </c>
      <c r="D11">
        <v>147.19999999999999</v>
      </c>
      <c r="E11">
        <v>-6553</v>
      </c>
      <c r="F11">
        <v>2170</v>
      </c>
      <c r="G11">
        <v>33.299999999999997</v>
      </c>
      <c r="H11">
        <v>-3792</v>
      </c>
      <c r="I11">
        <v>635</v>
      </c>
      <c r="K11">
        <f t="shared" si="0"/>
        <v>3.4173228346456694</v>
      </c>
      <c r="L11">
        <f t="shared" si="1"/>
        <v>4.4204204204204203</v>
      </c>
      <c r="N11">
        <f t="shared" si="2"/>
        <v>15.106003641436713</v>
      </c>
    </row>
    <row r="12" spans="1:14" x14ac:dyDescent="0.2">
      <c r="A12">
        <v>115</v>
      </c>
      <c r="B12">
        <v>5500</v>
      </c>
      <c r="C12">
        <v>5000</v>
      </c>
      <c r="D12">
        <v>859</v>
      </c>
      <c r="E12">
        <v>-3958</v>
      </c>
      <c r="F12">
        <v>692</v>
      </c>
      <c r="G12">
        <v>152</v>
      </c>
      <c r="H12">
        <v>-3433</v>
      </c>
      <c r="I12">
        <v>536</v>
      </c>
      <c r="K12">
        <f t="shared" si="0"/>
        <v>1.291044776119403</v>
      </c>
      <c r="L12">
        <f t="shared" si="1"/>
        <v>5.6513157894736841</v>
      </c>
      <c r="N12">
        <f t="shared" si="2"/>
        <v>7.2961017282010996</v>
      </c>
    </row>
    <row r="13" spans="1:14" x14ac:dyDescent="0.2">
      <c r="A13">
        <v>421</v>
      </c>
      <c r="B13">
        <v>5500</v>
      </c>
      <c r="C13">
        <v>1000</v>
      </c>
      <c r="D13">
        <v>151.1</v>
      </c>
      <c r="E13">
        <v>-6890</v>
      </c>
      <c r="F13">
        <v>2465</v>
      </c>
      <c r="G13">
        <v>25.6</v>
      </c>
      <c r="H13">
        <v>-5487</v>
      </c>
      <c r="I13">
        <v>1348</v>
      </c>
      <c r="K13">
        <f t="shared" si="0"/>
        <v>1.8286350148367954</v>
      </c>
      <c r="L13">
        <f t="shared" si="1"/>
        <v>5.9023437499999991</v>
      </c>
      <c r="N13">
        <f t="shared" si="2"/>
        <v>10.793232450853115</v>
      </c>
    </row>
    <row r="14" spans="1:14" x14ac:dyDescent="0.2">
      <c r="A14">
        <v>421</v>
      </c>
      <c r="B14">
        <v>5500</v>
      </c>
      <c r="C14">
        <v>5000</v>
      </c>
      <c r="D14">
        <v>774</v>
      </c>
      <c r="E14">
        <v>-6440</v>
      </c>
      <c r="F14">
        <v>2038</v>
      </c>
      <c r="G14">
        <v>155</v>
      </c>
      <c r="H14">
        <v>-3620</v>
      </c>
      <c r="I14">
        <v>545</v>
      </c>
      <c r="K14">
        <f t="shared" si="0"/>
        <v>3.7394495412844035</v>
      </c>
      <c r="L14">
        <f t="shared" si="1"/>
        <v>4.9935483870967738</v>
      </c>
      <c r="N14">
        <f t="shared" si="2"/>
        <v>18.673122225510504</v>
      </c>
    </row>
    <row r="16" spans="1:14" x14ac:dyDescent="0.2">
      <c r="C16">
        <v>1000</v>
      </c>
      <c r="D16">
        <f>AVERAGE(D9,D11,D13)</f>
        <v>145.86666666666667</v>
      </c>
      <c r="E16">
        <f t="shared" ref="E16:I16" si="3">AVERAGE(E9,E11,E13)</f>
        <v>-6539</v>
      </c>
      <c r="F16">
        <f t="shared" si="3"/>
        <v>2173.6666666666665</v>
      </c>
      <c r="G16">
        <f t="shared" si="3"/>
        <v>28.566666666666663</v>
      </c>
      <c r="H16">
        <f t="shared" si="3"/>
        <v>-4430</v>
      </c>
      <c r="I16">
        <f t="shared" si="3"/>
        <v>897.33333333333337</v>
      </c>
      <c r="K16">
        <f>AVERAGE(K13,K11,K9)</f>
        <v>2.6353474919055322</v>
      </c>
      <c r="L16">
        <f>AVERAGE(L13,L11,L9)</f>
        <v>5.1735084548167576</v>
      </c>
      <c r="N16">
        <f>AVERAGE(N9,N11,N13)</f>
        <v>13.241906911788334</v>
      </c>
    </row>
    <row r="17" spans="1:14" x14ac:dyDescent="0.2">
      <c r="C17">
        <v>5000</v>
      </c>
      <c r="D17">
        <f>AVERAGE(D10,D12,D14)</f>
        <v>839</v>
      </c>
      <c r="E17">
        <f t="shared" ref="E17:I17" si="4">AVERAGE(E10,E12,E14)</f>
        <v>-5048.666666666667</v>
      </c>
      <c r="F17">
        <f t="shared" si="4"/>
        <v>1242</v>
      </c>
      <c r="G17">
        <f t="shared" si="4"/>
        <v>151</v>
      </c>
      <c r="H17">
        <f t="shared" si="4"/>
        <v>-3547</v>
      </c>
      <c r="I17">
        <f t="shared" si="4"/>
        <v>549.66666666666663</v>
      </c>
      <c r="K17">
        <f>AVERAGE(K10,K12,K14)</f>
        <v>2.2613384813881234</v>
      </c>
      <c r="L17">
        <f>AVERAGE(L10,L12,L14)</f>
        <v>5.5665528990394675</v>
      </c>
      <c r="N17">
        <f>AVERAGE(N10,N12,N14)</f>
        <v>12.195478021228842</v>
      </c>
    </row>
    <row r="19" spans="1:14" x14ac:dyDescent="0.2">
      <c r="K19">
        <f>AVERAGE(K9:K14)</f>
        <v>2.448342986646828</v>
      </c>
      <c r="L19">
        <f>AVERAGE(L9:L14)</f>
        <v>5.3700306769281125</v>
      </c>
      <c r="N19">
        <f>AVERAGE(N9:N14)</f>
        <v>12.718692466508591</v>
      </c>
    </row>
    <row r="22" spans="1:14" x14ac:dyDescent="0.2">
      <c r="A22">
        <v>251008</v>
      </c>
    </row>
    <row r="23" spans="1:14" x14ac:dyDescent="0.2">
      <c r="A23">
        <v>522</v>
      </c>
      <c r="B23">
        <v>5000</v>
      </c>
      <c r="C23">
        <v>5000</v>
      </c>
      <c r="D23">
        <v>563</v>
      </c>
      <c r="E23">
        <v>-1385</v>
      </c>
      <c r="F23">
        <v>122</v>
      </c>
      <c r="G23">
        <v>122</v>
      </c>
      <c r="H23">
        <v>-321</v>
      </c>
      <c r="I23">
        <v>0.9</v>
      </c>
      <c r="K23">
        <f>F23 - I23</f>
        <v>121.1</v>
      </c>
      <c r="L23">
        <f>D23/G23</f>
        <v>4.6147540983606561</v>
      </c>
      <c r="N23">
        <f>K23*L23</f>
        <v>558.84672131147545</v>
      </c>
    </row>
    <row r="24" spans="1:14" x14ac:dyDescent="0.2">
      <c r="A24">
        <v>783</v>
      </c>
      <c r="B24">
        <v>5000</v>
      </c>
      <c r="C24">
        <v>5000</v>
      </c>
      <c r="D24">
        <v>710</v>
      </c>
      <c r="E24">
        <v>-927</v>
      </c>
      <c r="F24">
        <v>55</v>
      </c>
      <c r="G24">
        <v>130</v>
      </c>
      <c r="H24">
        <v>-322</v>
      </c>
      <c r="I24">
        <v>1.5</v>
      </c>
      <c r="K24">
        <f>F24 - I24</f>
        <v>53.5</v>
      </c>
      <c r="L24">
        <f>D24/G24</f>
        <v>5.4615384615384617</v>
      </c>
      <c r="N24">
        <f>K24*L24</f>
        <v>292.19230769230768</v>
      </c>
    </row>
    <row r="25" spans="1:14" x14ac:dyDescent="0.2">
      <c r="A25">
        <v>829</v>
      </c>
      <c r="B25">
        <v>5000</v>
      </c>
      <c r="C25">
        <v>5000</v>
      </c>
      <c r="D25">
        <v>673</v>
      </c>
      <c r="E25">
        <v>-773</v>
      </c>
      <c r="F25">
        <v>42</v>
      </c>
      <c r="G25">
        <v>120</v>
      </c>
      <c r="H25">
        <v>-381</v>
      </c>
      <c r="I25">
        <v>3.7</v>
      </c>
      <c r="K25">
        <f>F25 - I25</f>
        <v>38.299999999999997</v>
      </c>
      <c r="L25">
        <f>D25/G25</f>
        <v>5.6083333333333334</v>
      </c>
      <c r="N25">
        <f>K25*L25</f>
        <v>214.79916666666665</v>
      </c>
    </row>
    <row r="27" spans="1:14" x14ac:dyDescent="0.2">
      <c r="K27">
        <f>AVERAGE(K23:K25)</f>
        <v>70.966666666666654</v>
      </c>
    </row>
  </sheetData>
  <mergeCells count="2"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Slivka</dc:creator>
  <cp:lastModifiedBy>Joseph Slivka</cp:lastModifiedBy>
  <dcterms:created xsi:type="dcterms:W3CDTF">2025-10-08T01:57:51Z</dcterms:created>
  <dcterms:modified xsi:type="dcterms:W3CDTF">2025-10-09T05:36:37Z</dcterms:modified>
</cp:coreProperties>
</file>